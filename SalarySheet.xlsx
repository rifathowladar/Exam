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User\Desktop\Ms-Word\"/>
    </mc:Choice>
  </mc:AlternateContent>
  <xr:revisionPtr revIDLastSave="0" documentId="13_ncr:1_{BEEC5C82-8A90-4CBC-BABB-D77107029843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H4" i="1"/>
  <c r="H5" i="1"/>
  <c r="H6" i="1"/>
  <c r="H7" i="1"/>
  <c r="H8" i="1"/>
  <c r="H3" i="1"/>
  <c r="I3" i="1" s="1"/>
  <c r="D4" i="1"/>
  <c r="D5" i="1"/>
  <c r="D6" i="1"/>
  <c r="D7" i="1"/>
  <c r="D8" i="1"/>
  <c r="D3" i="1"/>
  <c r="G4" i="1"/>
  <c r="G5" i="1"/>
  <c r="G6" i="1"/>
  <c r="G7" i="1"/>
  <c r="G8" i="1"/>
  <c r="G3" i="1"/>
</calcChain>
</file>

<file path=xl/sharedStrings.xml><?xml version="1.0" encoding="utf-8"?>
<sst xmlns="http://schemas.openxmlformats.org/spreadsheetml/2006/main" count="23" uniqueCount="22">
  <si>
    <r>
      <rPr>
        <sz val="22"/>
        <color theme="1"/>
        <rFont val="Arial"/>
        <family val="2"/>
      </rPr>
      <t>M/S Hasan and Sons</t>
    </r>
    <r>
      <rPr>
        <sz val="16"/>
        <color theme="1"/>
        <rFont val="Arial"/>
        <family val="2"/>
      </rPr>
      <t xml:space="preserve">
Month of July ,2026
</t>
    </r>
    <r>
      <rPr>
        <u/>
        <sz val="16"/>
        <color theme="1"/>
        <rFont val="Arial"/>
        <family val="2"/>
      </rPr>
      <t xml:space="preserve">Salary Sheet
</t>
    </r>
    <r>
      <rPr>
        <sz val="16"/>
        <color theme="1"/>
        <rFont val="Arial"/>
        <family val="2"/>
      </rPr>
      <t xml:space="preserve">                                                          Date:12.12.2026</t>
    </r>
  </si>
  <si>
    <t>Name</t>
  </si>
  <si>
    <t>Designation</t>
  </si>
  <si>
    <t>Basic</t>
  </si>
  <si>
    <t>House
Rent</t>
  </si>
  <si>
    <t>Medical</t>
  </si>
  <si>
    <t>Education</t>
  </si>
  <si>
    <t>Profident
Foud</t>
  </si>
  <si>
    <t>Gross
Salary</t>
  </si>
  <si>
    <t>Net
Salary</t>
  </si>
  <si>
    <t>X</t>
  </si>
  <si>
    <t>Y</t>
  </si>
  <si>
    <t>Z</t>
  </si>
  <si>
    <t>A</t>
  </si>
  <si>
    <t>B</t>
  </si>
  <si>
    <t>C</t>
  </si>
  <si>
    <t>Manager</t>
  </si>
  <si>
    <t>Senior
Officer</t>
  </si>
  <si>
    <t>Officer</t>
  </si>
  <si>
    <t>Officer Ass</t>
  </si>
  <si>
    <t>Guard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</si>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</sst>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2"/>
      <color theme="1"/>
      <name val="Arial"/>
      <family val="2"/>
    </font>
    <font>
      <sz val="16"/>
      <color theme="1"/>
      <name val="Arial"/>
      <family val="2"/>
    </font>
    <font>
      <u/>
      <sz val="16"/>
      <color theme="1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K12" sqref="K12"/>
    </sheetView>
  </sheetViews>
  <sheetFormatPr defaultRowHeight="14.4" x14ac:dyDescent="0.3"/>
  <sheetData>
    <row r="1" spans="1:9" ht="106.8" customHeight="1" x14ac:dyDescent="0.35">
      <c r="A1" s="2" t="s">
        <v>0</v>
      </c>
      <c r="B1" s="1"/>
      <c r="C1" s="1"/>
      <c r="D1" s="1"/>
      <c r="E1" s="1"/>
      <c r="F1" s="1"/>
      <c r="G1" s="1"/>
      <c r="H1" s="1"/>
      <c r="I1" s="1"/>
    </row>
    <row r="2" spans="1:9" ht="28.8" customHeight="1" x14ac:dyDescent="0.3">
      <c r="A2" t="s">
        <v>1</v>
      </c>
      <c r="B2" t="s">
        <v>2</v>
      </c>
      <c r="C2" t="s">
        <v>3</v>
      </c>
      <c r="D2" s="3" t="s">
        <v>4</v>
      </c>
      <c r="E2" t="s">
        <v>5</v>
      </c>
      <c r="F2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t="s">
        <v>10</v>
      </c>
      <c r="B3" t="s">
        <v>16</v>
      </c>
      <c r="C3">
        <v>15000</v>
      </c>
      <c r="D3">
        <f>IF(C3&gt;=50000,C3*40%,IF(C3&gt;=30000,C3*50%,C3*55%))</f>
        <v>8250</v>
      </c>
      <c r="E3">
        <v>1500</v>
      </c>
      <c r="F3">
        <v>750</v>
      </c>
      <c r="G3">
        <f>C3*10%</f>
        <v>1500</v>
      </c>
      <c r="H3">
        <f>C3+D3+E3+F3</f>
        <v>25500</v>
      </c>
      <c r="I3">
        <f>H3-G3</f>
        <v>24000</v>
      </c>
    </row>
    <row r="4" spans="1:9" ht="29.4" customHeight="1" x14ac:dyDescent="0.3">
      <c r="A4" t="s">
        <v>11</v>
      </c>
      <c r="B4" s="3" t="s">
        <v>17</v>
      </c>
      <c r="C4">
        <v>45000</v>
      </c>
      <c r="D4">
        <f t="shared" ref="D4:D8" si="0">IF(C4&gt;=50000,C4*40%,IF(C4&gt;=30000,C4*50%,C4*55%))</f>
        <v>22500</v>
      </c>
      <c r="E4">
        <v>1500</v>
      </c>
      <c r="F4">
        <v>750</v>
      </c>
      <c r="G4">
        <f t="shared" ref="G4:G8" si="1">C4*10%</f>
        <v>4500</v>
      </c>
      <c r="H4">
        <f t="shared" ref="H4:H8" si="2">C4+D4+E4+F4</f>
        <v>69750</v>
      </c>
      <c r="I4">
        <f t="shared" ref="I4:I8" si="3">H4-G4</f>
        <v>65250</v>
      </c>
    </row>
    <row r="5" spans="1:9" x14ac:dyDescent="0.3">
      <c r="A5" t="s">
        <v>12</v>
      </c>
      <c r="B5" t="s">
        <v>18</v>
      </c>
      <c r="C5">
        <v>50000</v>
      </c>
      <c r="D5">
        <f t="shared" si="0"/>
        <v>20000</v>
      </c>
      <c r="E5">
        <v>1500</v>
      </c>
      <c r="F5">
        <v>750</v>
      </c>
      <c r="G5">
        <f t="shared" si="1"/>
        <v>5000</v>
      </c>
      <c r="H5">
        <f t="shared" si="2"/>
        <v>72250</v>
      </c>
      <c r="I5">
        <f t="shared" si="3"/>
        <v>67250</v>
      </c>
    </row>
    <row r="6" spans="1:9" x14ac:dyDescent="0.3">
      <c r="A6" t="s">
        <v>13</v>
      </c>
      <c r="B6" t="s">
        <v>18</v>
      </c>
      <c r="C6">
        <v>30000</v>
      </c>
      <c r="D6">
        <f t="shared" si="0"/>
        <v>15000</v>
      </c>
      <c r="E6">
        <v>1500</v>
      </c>
      <c r="F6">
        <v>750</v>
      </c>
      <c r="G6">
        <f t="shared" si="1"/>
        <v>3000</v>
      </c>
      <c r="H6">
        <f t="shared" si="2"/>
        <v>47250</v>
      </c>
      <c r="I6">
        <f t="shared" si="3"/>
        <v>44250</v>
      </c>
    </row>
    <row r="7" spans="1:9" x14ac:dyDescent="0.3">
      <c r="A7" t="s">
        <v>14</v>
      </c>
      <c r="B7" t="s">
        <v>19</v>
      </c>
      <c r="C7">
        <v>30000</v>
      </c>
      <c r="D7">
        <f t="shared" si="0"/>
        <v>15000</v>
      </c>
      <c r="E7">
        <v>1500</v>
      </c>
      <c r="F7">
        <v>750</v>
      </c>
      <c r="G7">
        <f t="shared" si="1"/>
        <v>3000</v>
      </c>
      <c r="H7">
        <f t="shared" si="2"/>
        <v>47250</v>
      </c>
      <c r="I7">
        <f t="shared" si="3"/>
        <v>44250</v>
      </c>
    </row>
    <row r="8" spans="1:9" x14ac:dyDescent="0.3">
      <c r="A8" t="s">
        <v>15</v>
      </c>
      <c r="B8" t="s">
        <v>20</v>
      </c>
      <c r="C8">
        <v>15000</v>
      </c>
      <c r="D8">
        <f t="shared" si="0"/>
        <v>8250</v>
      </c>
      <c r="E8">
        <v>1500</v>
      </c>
      <c r="F8">
        <v>750</v>
      </c>
      <c r="G8">
        <f t="shared" si="1"/>
        <v>1500</v>
      </c>
      <c r="H8">
        <f t="shared" si="2"/>
        <v>25500</v>
      </c>
      <c r="I8">
        <f t="shared" si="3"/>
        <v>24000</v>
      </c>
    </row>
    <row r="9" spans="1:9" ht="30" customHeight="1" x14ac:dyDescent="0.3">
      <c r="A9" s="5" t="s">
        <v>21</v>
      </c>
      <c r="B9" s="4"/>
      <c r="C9" s="4"/>
      <c r="D9" s="4"/>
      <c r="E9" s="4"/>
      <c r="F9" s="4"/>
      <c r="G9" s="4"/>
      <c r="H9" s="4"/>
      <c r="I9" s="4"/>
    </row>
  </sheetData>
  <mergeCells count="2">
    <mergeCell ref="A1:I1"/>
    <mergeCell ref="A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2026-07-22T14:13:56Z</dcterms:modified>
</cp:coreProperties>
</file>